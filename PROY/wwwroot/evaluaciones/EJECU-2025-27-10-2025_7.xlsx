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ron.fuentes\Desktop\"/>
    </mc:Choice>
  </mc:AlternateContent>
  <xr:revisionPtr revIDLastSave="0" documentId="8_{1C115820-9B75-4AD3-8520-34218B1259A1}" xr6:coauthVersionLast="47" xr6:coauthVersionMax="47" xr10:uidLastSave="{00000000-0000-0000-0000-000000000000}"/>
  <bookViews>
    <workbookView xWindow="-120" yWindow="-120" windowWidth="29040" windowHeight="15840" xr2:uid="{90FD69FA-79EA-4539-BCAF-7110B7391C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3" i="1" l="1"/>
  <c r="E113" i="1"/>
  <c r="E112" i="1"/>
  <c r="F112" i="1"/>
  <c r="E107" i="1"/>
  <c r="F107" i="1"/>
  <c r="E105" i="1"/>
  <c r="F105" i="1"/>
  <c r="E100" i="1"/>
  <c r="F100" i="1"/>
  <c r="E97" i="1"/>
  <c r="F97" i="1"/>
  <c r="E94" i="1"/>
  <c r="F94" i="1"/>
  <c r="F85" i="1"/>
  <c r="E85" i="1"/>
  <c r="E78" i="1"/>
  <c r="F78" i="1"/>
  <c r="E70" i="1"/>
  <c r="F70" i="1"/>
  <c r="E66" i="1"/>
  <c r="F66" i="1"/>
  <c r="E63" i="1"/>
  <c r="F63" i="1"/>
  <c r="E60" i="1"/>
  <c r="F60" i="1"/>
  <c r="E53" i="1"/>
  <c r="F53" i="1"/>
  <c r="E42" i="1"/>
  <c r="F42" i="1"/>
  <c r="E40" i="1"/>
  <c r="F40" i="1"/>
  <c r="E36" i="1"/>
  <c r="F36" i="1"/>
  <c r="E34" i="1"/>
  <c r="F34" i="1"/>
  <c r="E29" i="1"/>
  <c r="F29" i="1"/>
  <c r="E24" i="1"/>
  <c r="F24" i="1"/>
  <c r="E22" i="1"/>
  <c r="F22" i="1"/>
</calcChain>
</file>

<file path=xl/sharedStrings.xml><?xml version="1.0" encoding="utf-8"?>
<sst xmlns="http://schemas.openxmlformats.org/spreadsheetml/2006/main" count="131" uniqueCount="109">
  <si>
    <t>VICEMINISTERIO DE SEGURIDAD ALIMENTARIA Y NUTRICIONAL -VISAN-MAGA</t>
  </si>
  <si>
    <t>Dirección de Asistencia Alimentaria y Nutricional</t>
  </si>
  <si>
    <t>Departamento de Alimentos por Acciones</t>
  </si>
  <si>
    <t>EJECUCION 2025</t>
  </si>
  <si>
    <t>DEPARTAMENTO</t>
  </si>
  <si>
    <t>MUNICIPIO</t>
  </si>
  <si>
    <t>COMUNIDAD</t>
  </si>
  <si>
    <t>RACIONES ENTREGADAS</t>
  </si>
  <si>
    <t>ALTA VERAPAZ</t>
  </si>
  <si>
    <t>CHAHAL</t>
  </si>
  <si>
    <t>COBÁN</t>
  </si>
  <si>
    <t>FRAY BARTOLOMÉ DE LAS CASAS</t>
  </si>
  <si>
    <t>LANQUÍN</t>
  </si>
  <si>
    <t>PANZÓS</t>
  </si>
  <si>
    <t>SAN CRISTÓBAL VERAPAZ</t>
  </si>
  <si>
    <t>SAN MIGUEL TUCURÚ</t>
  </si>
  <si>
    <t>SAN PEDRO CARCHÁ</t>
  </si>
  <si>
    <t>SANTA CRUZ VERAPAZ</t>
  </si>
  <si>
    <t>SANTA MARÍA CAHABÓN</t>
  </si>
  <si>
    <t>SENAHÚ</t>
  </si>
  <si>
    <t>BAJA VERAPAZ</t>
  </si>
  <si>
    <t>CUBULCO</t>
  </si>
  <si>
    <t>CHIMALTENANGO</t>
  </si>
  <si>
    <t>EL TEJAR</t>
  </si>
  <si>
    <t>PARRAMOS</t>
  </si>
  <si>
    <t>SAN MARTÍN JILOTEPEQUE</t>
  </si>
  <si>
    <t>SAN PEDRO YEPOCAPA</t>
  </si>
  <si>
    <t>CHIQUIMULA</t>
  </si>
  <si>
    <t>IPALA</t>
  </si>
  <si>
    <t>JOCOTÁN</t>
  </si>
  <si>
    <t>OLOPA</t>
  </si>
  <si>
    <t>SAN JACINTO</t>
  </si>
  <si>
    <t>EL PROGRESO</t>
  </si>
  <si>
    <t>SAN CRISTÓBAL ACASAGUASTLÁN</t>
  </si>
  <si>
    <t>ESCUINTLA</t>
  </si>
  <si>
    <t>LA GOMERA</t>
  </si>
  <si>
    <t>MASAGUA</t>
  </si>
  <si>
    <t>NUEVA CONCEPCIÓN</t>
  </si>
  <si>
    <t>GUATEMALA</t>
  </si>
  <si>
    <t>VILLA CANALES</t>
  </si>
  <si>
    <t>HUEHUETENANGO</t>
  </si>
  <si>
    <t>CHIANTLA</t>
  </si>
  <si>
    <t>MALACATANCITO</t>
  </si>
  <si>
    <t>NENTÓN</t>
  </si>
  <si>
    <t>SAN ANTONIO HUISTA</t>
  </si>
  <si>
    <t>SAN JUAN IXCOY</t>
  </si>
  <si>
    <t>SAN PEDRO NÉCTA</t>
  </si>
  <si>
    <t>SAN SEBASTIÁN HUEHUETENANGO</t>
  </si>
  <si>
    <t>SANTA CRUZ BARILLAS</t>
  </si>
  <si>
    <t>UNIÓN CANTINIL</t>
  </si>
  <si>
    <t>IZABAL</t>
  </si>
  <si>
    <t>EL ESTOR</t>
  </si>
  <si>
    <t>LIVINGSTON</t>
  </si>
  <si>
    <t>LOS AMATES</t>
  </si>
  <si>
    <t>JALAPA</t>
  </si>
  <si>
    <t>MATAQUESCUINTLA</t>
  </si>
  <si>
    <t>SAN PEDRO PINULA</t>
  </si>
  <si>
    <t>JUTIAPA</t>
  </si>
  <si>
    <t>MOYUTA</t>
  </si>
  <si>
    <t>PASACO</t>
  </si>
  <si>
    <t>QUETZALTENANGO</t>
  </si>
  <si>
    <t>COLOMBA COSTA CUCA</t>
  </si>
  <si>
    <t>SALCAJÁ</t>
  </si>
  <si>
    <t>QUICHÉ</t>
  </si>
  <si>
    <t>PACHALUM</t>
  </si>
  <si>
    <t>PATZITÉ</t>
  </si>
  <si>
    <t>SAN ANTONIO ILOTENANGO</t>
  </si>
  <si>
    <t>RETALHULEU</t>
  </si>
  <si>
    <t>CHAMPERICO</t>
  </si>
  <si>
    <t>EL ASINTAL</t>
  </si>
  <si>
    <t>SAN ANDRÉS VILLA SECA</t>
  </si>
  <si>
    <t>SAN FELIPE</t>
  </si>
  <si>
    <t>SAN SEBASTIÁN</t>
  </si>
  <si>
    <t>SANTA CRUZ MULUÁ</t>
  </si>
  <si>
    <t>SACATEPÉQUEZ</t>
  </si>
  <si>
    <t>ANTIGUA GUATEMALA</t>
  </si>
  <si>
    <t>JOCOTENANGO</t>
  </si>
  <si>
    <t>MAGDALENA MILPAS ALTAS</t>
  </si>
  <si>
    <t>SAN ANTONIO AGUAS CALIENTES</t>
  </si>
  <si>
    <t>SANTA LUCÍA MILPAS ALTAS</t>
  </si>
  <si>
    <t>SUMPANGO</t>
  </si>
  <si>
    <t>SAN MARCOS</t>
  </si>
  <si>
    <t>LA REFORMA</t>
  </si>
  <si>
    <t>SAN JOSÉ OJETENAM</t>
  </si>
  <si>
    <t>SAN MIGUEL IXTAHUACÁN</t>
  </si>
  <si>
    <t>SIBINAL</t>
  </si>
  <si>
    <t>SIPACAPA</t>
  </si>
  <si>
    <t>TACANÁ</t>
  </si>
  <si>
    <t>TAJUMULCO</t>
  </si>
  <si>
    <t>TEJUTLA</t>
  </si>
  <si>
    <t>SANTA ROSA</t>
  </si>
  <si>
    <t>BARBERENA</t>
  </si>
  <si>
    <t>SAN RAFAEL LAS FLORES</t>
  </si>
  <si>
    <t>SOLOLÁ</t>
  </si>
  <si>
    <t>SAN ANTONIO PALOPÓ</t>
  </si>
  <si>
    <t>SAN PEDRO LA LAGUNA</t>
  </si>
  <si>
    <t>SUCHITEPÉQUEZ</t>
  </si>
  <si>
    <t>CHICACAO</t>
  </si>
  <si>
    <t>PATULUL</t>
  </si>
  <si>
    <t>SAN ANTONIO SUCHITEPÉQUEZ</t>
  </si>
  <si>
    <t>SAN PABLO JOCOPILAS</t>
  </si>
  <si>
    <t>TOTONICAPÁN</t>
  </si>
  <si>
    <t>MOMOSTENANGO</t>
  </si>
  <si>
    <t>ZACAPA</t>
  </si>
  <si>
    <t>ESTANZUELA</t>
  </si>
  <si>
    <t>GUALÁN</t>
  </si>
  <si>
    <t>TECULUTÁN</t>
  </si>
  <si>
    <t>TOTAL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</si>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</sst>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6" xfId="0" applyFont="1" applyFill="1" applyBorder="1" applyAlignment="1">
      <alignment horizontal="centerContinuous" vertical="center"/>
    </xf>
    <xf numFmtId="0" fontId="2" fillId="2" borderId="0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 vertical="center"/>
    </xf>
    <xf numFmtId="3" fontId="1" fillId="2" borderId="8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1" fillId="2" borderId="10" xfId="0" applyNumberFormat="1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5</xdr:row>
      <xdr:rowOff>28575</xdr:rowOff>
    </xdr:from>
    <xdr:to>
      <xdr:col>2</xdr:col>
      <xdr:colOff>1243291</xdr:colOff>
      <xdr:row>7</xdr:row>
      <xdr:rowOff>24243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E16A26-4BD3-4669-A569-6ECF31AF3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33525" y="990600"/>
          <a:ext cx="1233766" cy="471918"/>
        </a:xfrm>
        <a:prstGeom prst="rect">
          <a:avLst/>
        </a:prstGeom>
        <a:effectLst>
          <a:softEdge rad="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10B3-47C3-4621-BBAB-549DB6895241}">
  <dimension ref="C5:F113"/>
  <sheetViews>
    <sheetView tabSelected="1" workbookViewId="0">
      <selection activeCell="D12" sqref="D12"/>
    </sheetView>
  </sheetViews>
  <sheetFormatPr baseColWidth="10" defaultRowHeight="15" x14ac:dyDescent="0.25"/>
  <cols>
    <col min="3" max="3" width="33.85546875" customWidth="1"/>
    <col min="4" max="4" width="37.140625" customWidth="1"/>
    <col min="5" max="5" width="29.7109375" customWidth="1"/>
    <col min="6" max="6" width="24.5703125" customWidth="1"/>
  </cols>
  <sheetData>
    <row r="5" spans="3:6" ht="15.75" thickBot="1" x14ac:dyDescent="0.3"/>
    <row r="6" spans="3:6" ht="18.75" x14ac:dyDescent="0.25">
      <c r="C6" s="1" t="s">
        <v>0</v>
      </c>
      <c r="D6" s="2"/>
      <c r="E6" s="2"/>
      <c r="F6" s="7"/>
    </row>
    <row r="7" spans="3:6" ht="18.75" x14ac:dyDescent="0.25">
      <c r="C7" s="3" t="s">
        <v>1</v>
      </c>
      <c r="D7" s="8"/>
      <c r="E7" s="8"/>
      <c r="F7" s="9"/>
    </row>
    <row r="8" spans="3:6" ht="18.75" x14ac:dyDescent="0.25">
      <c r="C8" s="3" t="s">
        <v>2</v>
      </c>
      <c r="D8" s="8"/>
      <c r="E8" s="8"/>
      <c r="F8" s="9"/>
    </row>
    <row r="9" spans="3:6" ht="18.75" x14ac:dyDescent="0.25">
      <c r="C9" s="3" t="s">
        <v>3</v>
      </c>
      <c r="D9" s="8"/>
      <c r="E9" s="8"/>
      <c r="F9" s="9"/>
    </row>
    <row r="10" spans="3:6" x14ac:dyDescent="0.25">
      <c r="C10" s="4" t="s">
        <v>4</v>
      </c>
      <c r="D10" s="5" t="s">
        <v>5</v>
      </c>
      <c r="E10" s="5" t="s">
        <v>6</v>
      </c>
      <c r="F10" s="10" t="s">
        <v>7</v>
      </c>
    </row>
    <row r="11" spans="3:6" x14ac:dyDescent="0.25">
      <c r="C11" s="16" t="s">
        <v>8</v>
      </c>
      <c r="D11" s="6" t="s">
        <v>9</v>
      </c>
      <c r="E11" s="6">
        <v>1</v>
      </c>
      <c r="F11" s="12">
        <v>74</v>
      </c>
    </row>
    <row r="12" spans="3:6" x14ac:dyDescent="0.25">
      <c r="C12" s="16"/>
      <c r="D12" s="6" t="s">
        <v>10</v>
      </c>
      <c r="E12" s="6">
        <v>19</v>
      </c>
      <c r="F12" s="12">
        <v>3929</v>
      </c>
    </row>
    <row r="13" spans="3:6" x14ac:dyDescent="0.25">
      <c r="C13" s="16"/>
      <c r="D13" s="6" t="s">
        <v>11</v>
      </c>
      <c r="E13" s="6">
        <v>69</v>
      </c>
      <c r="F13" s="12">
        <v>14035</v>
      </c>
    </row>
    <row r="14" spans="3:6" x14ac:dyDescent="0.25">
      <c r="C14" s="16"/>
      <c r="D14" s="6" t="s">
        <v>12</v>
      </c>
      <c r="E14" s="6">
        <v>3</v>
      </c>
      <c r="F14" s="12">
        <v>352</v>
      </c>
    </row>
    <row r="15" spans="3:6" x14ac:dyDescent="0.25">
      <c r="C15" s="16"/>
      <c r="D15" s="6" t="s">
        <v>13</v>
      </c>
      <c r="E15" s="6">
        <v>1</v>
      </c>
      <c r="F15" s="12">
        <v>243</v>
      </c>
    </row>
    <row r="16" spans="3:6" x14ac:dyDescent="0.25">
      <c r="C16" s="16"/>
      <c r="D16" s="6" t="s">
        <v>14</v>
      </c>
      <c r="E16" s="6">
        <v>2</v>
      </c>
      <c r="F16" s="12">
        <v>277</v>
      </c>
    </row>
    <row r="17" spans="3:6" x14ac:dyDescent="0.25">
      <c r="C17" s="16"/>
      <c r="D17" s="6" t="s">
        <v>15</v>
      </c>
      <c r="E17" s="6">
        <v>17</v>
      </c>
      <c r="F17" s="12">
        <v>3098</v>
      </c>
    </row>
    <row r="18" spans="3:6" x14ac:dyDescent="0.25">
      <c r="C18" s="16"/>
      <c r="D18" s="6" t="s">
        <v>16</v>
      </c>
      <c r="E18" s="6">
        <v>13</v>
      </c>
      <c r="F18" s="12">
        <v>1624</v>
      </c>
    </row>
    <row r="19" spans="3:6" x14ac:dyDescent="0.25">
      <c r="C19" s="16"/>
      <c r="D19" s="6" t="s">
        <v>17</v>
      </c>
      <c r="E19" s="6">
        <v>13</v>
      </c>
      <c r="F19" s="12">
        <v>1976</v>
      </c>
    </row>
    <row r="20" spans="3:6" x14ac:dyDescent="0.25">
      <c r="C20" s="16"/>
      <c r="D20" s="6" t="s">
        <v>18</v>
      </c>
      <c r="E20" s="6">
        <v>50</v>
      </c>
      <c r="F20" s="12">
        <v>8236</v>
      </c>
    </row>
    <row r="21" spans="3:6" x14ac:dyDescent="0.25">
      <c r="C21" s="16"/>
      <c r="D21" s="6" t="s">
        <v>19</v>
      </c>
      <c r="E21" s="6">
        <v>1</v>
      </c>
      <c r="F21" s="12">
        <v>173</v>
      </c>
    </row>
    <row r="22" spans="3:6" x14ac:dyDescent="0.25">
      <c r="C22" s="15" t="s">
        <v>107</v>
      </c>
      <c r="D22" s="19"/>
      <c r="E22" s="13">
        <f>SUM(E11:E21)</f>
        <v>189</v>
      </c>
      <c r="F22" s="14">
        <f>SUM(F11:F21)</f>
        <v>34017</v>
      </c>
    </row>
    <row r="23" spans="3:6" x14ac:dyDescent="0.25">
      <c r="C23" s="11" t="s">
        <v>20</v>
      </c>
      <c r="D23" s="6" t="s">
        <v>21</v>
      </c>
      <c r="E23" s="6">
        <v>59</v>
      </c>
      <c r="F23" s="12">
        <v>6751</v>
      </c>
    </row>
    <row r="24" spans="3:6" x14ac:dyDescent="0.25">
      <c r="C24" s="15" t="s">
        <v>107</v>
      </c>
      <c r="D24" s="19"/>
      <c r="E24" s="13">
        <f>SUM(E23)</f>
        <v>59</v>
      </c>
      <c r="F24" s="14">
        <f>SUM(F23)</f>
        <v>6751</v>
      </c>
    </row>
    <row r="25" spans="3:6" x14ac:dyDescent="0.25">
      <c r="C25" s="16" t="s">
        <v>22</v>
      </c>
      <c r="D25" s="6" t="s">
        <v>23</v>
      </c>
      <c r="E25" s="6">
        <v>2</v>
      </c>
      <c r="F25" s="12">
        <v>481</v>
      </c>
    </row>
    <row r="26" spans="3:6" x14ac:dyDescent="0.25">
      <c r="C26" s="16"/>
      <c r="D26" s="6" t="s">
        <v>24</v>
      </c>
      <c r="E26" s="6">
        <v>3</v>
      </c>
      <c r="F26" s="12">
        <v>676</v>
      </c>
    </row>
    <row r="27" spans="3:6" x14ac:dyDescent="0.25">
      <c r="C27" s="16"/>
      <c r="D27" s="6" t="s">
        <v>25</v>
      </c>
      <c r="E27" s="6">
        <v>1</v>
      </c>
      <c r="F27" s="12">
        <v>187</v>
      </c>
    </row>
    <row r="28" spans="3:6" x14ac:dyDescent="0.25">
      <c r="C28" s="16"/>
      <c r="D28" s="6" t="s">
        <v>26</v>
      </c>
      <c r="E28" s="6">
        <v>1</v>
      </c>
      <c r="F28" s="12">
        <v>71</v>
      </c>
    </row>
    <row r="29" spans="3:6" x14ac:dyDescent="0.25">
      <c r="C29" s="15" t="s">
        <v>107</v>
      </c>
      <c r="D29" s="19"/>
      <c r="E29" s="13">
        <f>SUM(E25:E28)</f>
        <v>7</v>
      </c>
      <c r="F29" s="14">
        <f>SUM(F25:F28)</f>
        <v>1415</v>
      </c>
    </row>
    <row r="30" spans="3:6" x14ac:dyDescent="0.25">
      <c r="C30" s="16" t="s">
        <v>27</v>
      </c>
      <c r="D30" s="6" t="s">
        <v>28</v>
      </c>
      <c r="E30" s="6">
        <v>42</v>
      </c>
      <c r="F30" s="12">
        <v>4923</v>
      </c>
    </row>
    <row r="31" spans="3:6" x14ac:dyDescent="0.25">
      <c r="C31" s="16"/>
      <c r="D31" s="6" t="s">
        <v>29</v>
      </c>
      <c r="E31" s="6">
        <v>17</v>
      </c>
      <c r="F31" s="12">
        <v>2084</v>
      </c>
    </row>
    <row r="32" spans="3:6" x14ac:dyDescent="0.25">
      <c r="C32" s="16"/>
      <c r="D32" s="6" t="s">
        <v>30</v>
      </c>
      <c r="E32" s="6">
        <v>6</v>
      </c>
      <c r="F32" s="12">
        <v>743</v>
      </c>
    </row>
    <row r="33" spans="3:6" x14ac:dyDescent="0.25">
      <c r="C33" s="16"/>
      <c r="D33" s="6" t="s">
        <v>31</v>
      </c>
      <c r="E33" s="6">
        <v>14</v>
      </c>
      <c r="F33" s="12">
        <v>2506</v>
      </c>
    </row>
    <row r="34" spans="3:6" x14ac:dyDescent="0.25">
      <c r="C34" s="15" t="s">
        <v>107</v>
      </c>
      <c r="D34" s="19"/>
      <c r="E34" s="13">
        <f>SUM(E30:E33)</f>
        <v>79</v>
      </c>
      <c r="F34" s="14">
        <f>SUM(F30:F33)</f>
        <v>10256</v>
      </c>
    </row>
    <row r="35" spans="3:6" x14ac:dyDescent="0.25">
      <c r="C35" s="11" t="s">
        <v>32</v>
      </c>
      <c r="D35" s="6" t="s">
        <v>33</v>
      </c>
      <c r="E35" s="6">
        <v>7</v>
      </c>
      <c r="F35" s="12">
        <v>663</v>
      </c>
    </row>
    <row r="36" spans="3:6" x14ac:dyDescent="0.25">
      <c r="C36" s="15" t="s">
        <v>107</v>
      </c>
      <c r="D36" s="19"/>
      <c r="E36" s="13">
        <f>SUM(E35)</f>
        <v>7</v>
      </c>
      <c r="F36" s="14">
        <f>SUM(F35)</f>
        <v>663</v>
      </c>
    </row>
    <row r="37" spans="3:6" x14ac:dyDescent="0.25">
      <c r="C37" s="16" t="s">
        <v>34</v>
      </c>
      <c r="D37" s="6" t="s">
        <v>35</v>
      </c>
      <c r="E37" s="6">
        <v>9</v>
      </c>
      <c r="F37" s="12">
        <v>2149</v>
      </c>
    </row>
    <row r="38" spans="3:6" x14ac:dyDescent="0.25">
      <c r="C38" s="16"/>
      <c r="D38" s="6" t="s">
        <v>36</v>
      </c>
      <c r="E38" s="6">
        <v>6</v>
      </c>
      <c r="F38" s="12">
        <v>1316</v>
      </c>
    </row>
    <row r="39" spans="3:6" x14ac:dyDescent="0.25">
      <c r="C39" s="16"/>
      <c r="D39" s="6" t="s">
        <v>37</v>
      </c>
      <c r="E39" s="6">
        <v>6</v>
      </c>
      <c r="F39" s="12">
        <v>1413</v>
      </c>
    </row>
    <row r="40" spans="3:6" x14ac:dyDescent="0.25">
      <c r="C40" s="15" t="s">
        <v>107</v>
      </c>
      <c r="D40" s="19"/>
      <c r="E40" s="13">
        <f>SUM(E37:E39)</f>
        <v>21</v>
      </c>
      <c r="F40" s="14">
        <f>SUM(F37:F39)</f>
        <v>4878</v>
      </c>
    </row>
    <row r="41" spans="3:6" x14ac:dyDescent="0.25">
      <c r="C41" s="11" t="s">
        <v>38</v>
      </c>
      <c r="D41" s="6" t="s">
        <v>39</v>
      </c>
      <c r="E41" s="6">
        <v>3</v>
      </c>
      <c r="F41" s="12">
        <v>308</v>
      </c>
    </row>
    <row r="42" spans="3:6" x14ac:dyDescent="0.25">
      <c r="C42" s="15" t="s">
        <v>107</v>
      </c>
      <c r="D42" s="19"/>
      <c r="E42" s="13">
        <f>SUM(E41)</f>
        <v>3</v>
      </c>
      <c r="F42" s="14">
        <f>SUM(F41)</f>
        <v>308</v>
      </c>
    </row>
    <row r="43" spans="3:6" x14ac:dyDescent="0.25">
      <c r="C43" s="16" t="s">
        <v>40</v>
      </c>
      <c r="D43" s="6" t="s">
        <v>41</v>
      </c>
      <c r="E43" s="6">
        <v>4</v>
      </c>
      <c r="F43" s="12">
        <v>962</v>
      </c>
    </row>
    <row r="44" spans="3:6" x14ac:dyDescent="0.25">
      <c r="C44" s="16"/>
      <c r="D44" s="6" t="s">
        <v>40</v>
      </c>
      <c r="E44" s="6">
        <v>19</v>
      </c>
      <c r="F44" s="12">
        <v>4128</v>
      </c>
    </row>
    <row r="45" spans="3:6" x14ac:dyDescent="0.25">
      <c r="C45" s="16"/>
      <c r="D45" s="6" t="s">
        <v>42</v>
      </c>
      <c r="E45" s="6">
        <v>18</v>
      </c>
      <c r="F45" s="12">
        <v>4321</v>
      </c>
    </row>
    <row r="46" spans="3:6" x14ac:dyDescent="0.25">
      <c r="C46" s="16"/>
      <c r="D46" s="6" t="s">
        <v>43</v>
      </c>
      <c r="E46" s="6">
        <v>8</v>
      </c>
      <c r="F46" s="12">
        <v>485</v>
      </c>
    </row>
    <row r="47" spans="3:6" x14ac:dyDescent="0.25">
      <c r="C47" s="16"/>
      <c r="D47" s="6" t="s">
        <v>44</v>
      </c>
      <c r="E47" s="6">
        <v>10</v>
      </c>
      <c r="F47" s="12">
        <v>721</v>
      </c>
    </row>
    <row r="48" spans="3:6" x14ac:dyDescent="0.25">
      <c r="C48" s="16"/>
      <c r="D48" s="6" t="s">
        <v>45</v>
      </c>
      <c r="E48" s="6">
        <v>9</v>
      </c>
      <c r="F48" s="12">
        <v>2220</v>
      </c>
    </row>
    <row r="49" spans="3:6" x14ac:dyDescent="0.25">
      <c r="C49" s="16"/>
      <c r="D49" s="6" t="s">
        <v>46</v>
      </c>
      <c r="E49" s="6">
        <v>15</v>
      </c>
      <c r="F49" s="12">
        <v>3650</v>
      </c>
    </row>
    <row r="50" spans="3:6" x14ac:dyDescent="0.25">
      <c r="C50" s="16"/>
      <c r="D50" s="6" t="s">
        <v>47</v>
      </c>
      <c r="E50" s="6">
        <v>22</v>
      </c>
      <c r="F50" s="12">
        <v>4321</v>
      </c>
    </row>
    <row r="51" spans="3:6" x14ac:dyDescent="0.25">
      <c r="C51" s="16"/>
      <c r="D51" s="6" t="s">
        <v>48</v>
      </c>
      <c r="E51" s="6">
        <v>22</v>
      </c>
      <c r="F51" s="12">
        <v>2877</v>
      </c>
    </row>
    <row r="52" spans="3:6" x14ac:dyDescent="0.25">
      <c r="C52" s="16"/>
      <c r="D52" s="6" t="s">
        <v>49</v>
      </c>
      <c r="E52" s="6">
        <v>16</v>
      </c>
      <c r="F52" s="12">
        <v>2889</v>
      </c>
    </row>
    <row r="53" spans="3:6" x14ac:dyDescent="0.25">
      <c r="C53" s="15" t="s">
        <v>107</v>
      </c>
      <c r="D53" s="19"/>
      <c r="E53" s="13">
        <f>SUM(E43:E52)</f>
        <v>143</v>
      </c>
      <c r="F53" s="14">
        <f>SUM(F43:F52)</f>
        <v>26574</v>
      </c>
    </row>
    <row r="54" spans="3:6" x14ac:dyDescent="0.25">
      <c r="C54" s="16" t="s">
        <v>50</v>
      </c>
      <c r="D54" s="6" t="s">
        <v>51</v>
      </c>
      <c r="E54" s="6">
        <v>19</v>
      </c>
      <c r="F54" s="12">
        <v>1741</v>
      </c>
    </row>
    <row r="55" spans="3:6" x14ac:dyDescent="0.25">
      <c r="C55" s="16"/>
      <c r="D55" s="6" t="s">
        <v>52</v>
      </c>
      <c r="E55" s="6">
        <v>14</v>
      </c>
      <c r="F55" s="12">
        <v>769</v>
      </c>
    </row>
    <row r="56" spans="3:6" x14ac:dyDescent="0.25">
      <c r="C56" s="16"/>
      <c r="D56" s="6" t="s">
        <v>53</v>
      </c>
      <c r="E56" s="6">
        <v>20</v>
      </c>
      <c r="F56" s="12">
        <v>3017</v>
      </c>
    </row>
    <row r="57" spans="3:6" x14ac:dyDescent="0.25">
      <c r="C57" s="16"/>
      <c r="D57" s="6" t="s">
        <v>54</v>
      </c>
      <c r="E57" s="6">
        <v>15</v>
      </c>
      <c r="F57" s="12">
        <v>3392</v>
      </c>
    </row>
    <row r="58" spans="3:6" x14ac:dyDescent="0.25">
      <c r="C58" s="16"/>
      <c r="D58" s="6" t="s">
        <v>55</v>
      </c>
      <c r="E58" s="6">
        <v>8</v>
      </c>
      <c r="F58" s="12">
        <v>1493</v>
      </c>
    </row>
    <row r="59" spans="3:6" x14ac:dyDescent="0.25">
      <c r="C59" s="16"/>
      <c r="D59" s="6" t="s">
        <v>56</v>
      </c>
      <c r="E59" s="6">
        <v>47</v>
      </c>
      <c r="F59" s="12">
        <v>4332</v>
      </c>
    </row>
    <row r="60" spans="3:6" x14ac:dyDescent="0.25">
      <c r="C60" s="15" t="s">
        <v>107</v>
      </c>
      <c r="D60" s="19"/>
      <c r="E60" s="13">
        <f>SUM(E54:E59)</f>
        <v>123</v>
      </c>
      <c r="F60" s="14">
        <f>SUM(F54:F59)</f>
        <v>14744</v>
      </c>
    </row>
    <row r="61" spans="3:6" x14ac:dyDescent="0.25">
      <c r="C61" s="16" t="s">
        <v>57</v>
      </c>
      <c r="D61" s="6" t="s">
        <v>58</v>
      </c>
      <c r="E61" s="6">
        <v>1</v>
      </c>
      <c r="F61" s="12">
        <v>21</v>
      </c>
    </row>
    <row r="62" spans="3:6" x14ac:dyDescent="0.25">
      <c r="C62" s="16"/>
      <c r="D62" s="6" t="s">
        <v>59</v>
      </c>
      <c r="E62" s="6">
        <v>1</v>
      </c>
      <c r="F62" s="12">
        <v>11</v>
      </c>
    </row>
    <row r="63" spans="3:6" x14ac:dyDescent="0.25">
      <c r="C63" s="15" t="s">
        <v>107</v>
      </c>
      <c r="D63" s="19"/>
      <c r="E63" s="13">
        <f>SUM(E61:E62)</f>
        <v>2</v>
      </c>
      <c r="F63" s="14">
        <f>SUM(F61:F62)</f>
        <v>32</v>
      </c>
    </row>
    <row r="64" spans="3:6" x14ac:dyDescent="0.25">
      <c r="C64" s="16" t="s">
        <v>60</v>
      </c>
      <c r="D64" s="6" t="s">
        <v>61</v>
      </c>
      <c r="E64" s="6">
        <v>3</v>
      </c>
      <c r="F64" s="12">
        <v>572</v>
      </c>
    </row>
    <row r="65" spans="3:6" x14ac:dyDescent="0.25">
      <c r="C65" s="16"/>
      <c r="D65" s="6" t="s">
        <v>62</v>
      </c>
      <c r="E65" s="6">
        <v>5</v>
      </c>
      <c r="F65" s="12">
        <v>1011</v>
      </c>
    </row>
    <row r="66" spans="3:6" x14ac:dyDescent="0.25">
      <c r="C66" s="15" t="s">
        <v>107</v>
      </c>
      <c r="D66" s="19"/>
      <c r="E66" s="13">
        <f>SUM(E64:E65)</f>
        <v>8</v>
      </c>
      <c r="F66" s="14">
        <f>SUM(F64:F65)</f>
        <v>1583</v>
      </c>
    </row>
    <row r="67" spans="3:6" x14ac:dyDescent="0.25">
      <c r="C67" s="16" t="s">
        <v>63</v>
      </c>
      <c r="D67" s="6" t="s">
        <v>64</v>
      </c>
      <c r="E67" s="6">
        <v>3</v>
      </c>
      <c r="F67" s="12">
        <v>702</v>
      </c>
    </row>
    <row r="68" spans="3:6" x14ac:dyDescent="0.25">
      <c r="C68" s="16"/>
      <c r="D68" s="6" t="s">
        <v>65</v>
      </c>
      <c r="E68" s="6">
        <v>3</v>
      </c>
      <c r="F68" s="12">
        <v>553</v>
      </c>
    </row>
    <row r="69" spans="3:6" x14ac:dyDescent="0.25">
      <c r="C69" s="16"/>
      <c r="D69" s="6" t="s">
        <v>66</v>
      </c>
      <c r="E69" s="6">
        <v>31</v>
      </c>
      <c r="F69" s="12">
        <v>7286</v>
      </c>
    </row>
    <row r="70" spans="3:6" x14ac:dyDescent="0.25">
      <c r="C70" s="15" t="s">
        <v>107</v>
      </c>
      <c r="D70" s="19"/>
      <c r="E70" s="13">
        <f>SUM(E67:E69)</f>
        <v>37</v>
      </c>
      <c r="F70" s="14">
        <f>SUM(F67:F69)</f>
        <v>8541</v>
      </c>
    </row>
    <row r="71" spans="3:6" x14ac:dyDescent="0.25">
      <c r="C71" s="16" t="s">
        <v>67</v>
      </c>
      <c r="D71" s="6" t="s">
        <v>68</v>
      </c>
      <c r="E71" s="6">
        <v>9</v>
      </c>
      <c r="F71" s="12">
        <v>1405</v>
      </c>
    </row>
    <row r="72" spans="3:6" x14ac:dyDescent="0.25">
      <c r="C72" s="16"/>
      <c r="D72" s="6" t="s">
        <v>69</v>
      </c>
      <c r="E72" s="6">
        <v>7</v>
      </c>
      <c r="F72" s="12">
        <v>1397</v>
      </c>
    </row>
    <row r="73" spans="3:6" x14ac:dyDescent="0.25">
      <c r="C73" s="16"/>
      <c r="D73" s="6" t="s">
        <v>67</v>
      </c>
      <c r="E73" s="6">
        <v>17</v>
      </c>
      <c r="F73" s="12">
        <v>2990</v>
      </c>
    </row>
    <row r="74" spans="3:6" x14ac:dyDescent="0.25">
      <c r="C74" s="16"/>
      <c r="D74" s="6" t="s">
        <v>70</v>
      </c>
      <c r="E74" s="6">
        <v>19</v>
      </c>
      <c r="F74" s="12">
        <v>3208</v>
      </c>
    </row>
    <row r="75" spans="3:6" x14ac:dyDescent="0.25">
      <c r="C75" s="16"/>
      <c r="D75" s="6" t="s">
        <v>71</v>
      </c>
      <c r="E75" s="6">
        <v>8</v>
      </c>
      <c r="F75" s="12">
        <v>1427</v>
      </c>
    </row>
    <row r="76" spans="3:6" x14ac:dyDescent="0.25">
      <c r="C76" s="16"/>
      <c r="D76" s="6" t="s">
        <v>72</v>
      </c>
      <c r="E76" s="6">
        <v>9</v>
      </c>
      <c r="F76" s="12">
        <v>1710</v>
      </c>
    </row>
    <row r="77" spans="3:6" x14ac:dyDescent="0.25">
      <c r="C77" s="16"/>
      <c r="D77" s="6" t="s">
        <v>73</v>
      </c>
      <c r="E77" s="6">
        <v>10</v>
      </c>
      <c r="F77" s="12">
        <v>2178</v>
      </c>
    </row>
    <row r="78" spans="3:6" x14ac:dyDescent="0.25">
      <c r="C78" s="15" t="s">
        <v>107</v>
      </c>
      <c r="D78" s="19"/>
      <c r="E78" s="13">
        <f>SUM(E71:E77)</f>
        <v>79</v>
      </c>
      <c r="F78" s="14">
        <f>SUM(F71:F77)</f>
        <v>14315</v>
      </c>
    </row>
    <row r="79" spans="3:6" x14ac:dyDescent="0.25">
      <c r="C79" s="16" t="s">
        <v>74</v>
      </c>
      <c r="D79" s="6" t="s">
        <v>75</v>
      </c>
      <c r="E79" s="6">
        <v>1</v>
      </c>
      <c r="F79" s="12">
        <v>243</v>
      </c>
    </row>
    <row r="80" spans="3:6" x14ac:dyDescent="0.25">
      <c r="C80" s="16"/>
      <c r="D80" s="6" t="s">
        <v>76</v>
      </c>
      <c r="E80" s="6">
        <v>1</v>
      </c>
      <c r="F80" s="12">
        <v>177</v>
      </c>
    </row>
    <row r="81" spans="3:6" x14ac:dyDescent="0.25">
      <c r="C81" s="16"/>
      <c r="D81" s="6" t="s">
        <v>77</v>
      </c>
      <c r="E81" s="6">
        <v>1</v>
      </c>
      <c r="F81" s="12">
        <v>249</v>
      </c>
    </row>
    <row r="82" spans="3:6" x14ac:dyDescent="0.25">
      <c r="C82" s="16"/>
      <c r="D82" s="6" t="s">
        <v>78</v>
      </c>
      <c r="E82" s="6">
        <v>1</v>
      </c>
      <c r="F82" s="12">
        <v>245</v>
      </c>
    </row>
    <row r="83" spans="3:6" x14ac:dyDescent="0.25">
      <c r="C83" s="16"/>
      <c r="D83" s="6" t="s">
        <v>79</v>
      </c>
      <c r="E83" s="6">
        <v>2</v>
      </c>
      <c r="F83" s="12">
        <v>400</v>
      </c>
    </row>
    <row r="84" spans="3:6" x14ac:dyDescent="0.25">
      <c r="C84" s="16"/>
      <c r="D84" s="6" t="s">
        <v>80</v>
      </c>
      <c r="E84" s="6">
        <v>5</v>
      </c>
      <c r="F84" s="12">
        <v>1204</v>
      </c>
    </row>
    <row r="85" spans="3:6" x14ac:dyDescent="0.25">
      <c r="C85" s="15" t="s">
        <v>107</v>
      </c>
      <c r="D85" s="19"/>
      <c r="E85" s="13">
        <f>SUM(E79:E84)</f>
        <v>11</v>
      </c>
      <c r="F85" s="14">
        <f>SUM(F79:F84)</f>
        <v>2518</v>
      </c>
    </row>
    <row r="86" spans="3:6" x14ac:dyDescent="0.25">
      <c r="C86" s="16" t="s">
        <v>81</v>
      </c>
      <c r="D86" s="6" t="s">
        <v>82</v>
      </c>
      <c r="E86" s="6">
        <v>7</v>
      </c>
      <c r="F86" s="12">
        <v>1404</v>
      </c>
    </row>
    <row r="87" spans="3:6" x14ac:dyDescent="0.25">
      <c r="C87" s="16"/>
      <c r="D87" s="6" t="s">
        <v>83</v>
      </c>
      <c r="E87" s="6">
        <v>22</v>
      </c>
      <c r="F87" s="12">
        <v>3218</v>
      </c>
    </row>
    <row r="88" spans="3:6" x14ac:dyDescent="0.25">
      <c r="C88" s="16"/>
      <c r="D88" s="6" t="s">
        <v>84</v>
      </c>
      <c r="E88" s="6">
        <v>14</v>
      </c>
      <c r="F88" s="12">
        <v>2042</v>
      </c>
    </row>
    <row r="89" spans="3:6" x14ac:dyDescent="0.25">
      <c r="C89" s="16"/>
      <c r="D89" s="6" t="s">
        <v>85</v>
      </c>
      <c r="E89" s="6">
        <v>6</v>
      </c>
      <c r="F89" s="12">
        <v>446</v>
      </c>
    </row>
    <row r="90" spans="3:6" x14ac:dyDescent="0.25">
      <c r="C90" s="16"/>
      <c r="D90" s="6" t="s">
        <v>86</v>
      </c>
      <c r="E90" s="6">
        <v>8</v>
      </c>
      <c r="F90" s="12">
        <v>1523</v>
      </c>
    </row>
    <row r="91" spans="3:6" x14ac:dyDescent="0.25">
      <c r="C91" s="16"/>
      <c r="D91" s="6" t="s">
        <v>87</v>
      </c>
      <c r="E91" s="6">
        <v>25</v>
      </c>
      <c r="F91" s="12">
        <v>3722</v>
      </c>
    </row>
    <row r="92" spans="3:6" x14ac:dyDescent="0.25">
      <c r="C92" s="16"/>
      <c r="D92" s="6" t="s">
        <v>88</v>
      </c>
      <c r="E92" s="6">
        <v>4</v>
      </c>
      <c r="F92" s="12">
        <v>606</v>
      </c>
    </row>
    <row r="93" spans="3:6" x14ac:dyDescent="0.25">
      <c r="C93" s="16"/>
      <c r="D93" s="6" t="s">
        <v>89</v>
      </c>
      <c r="E93" s="6">
        <v>24</v>
      </c>
      <c r="F93" s="12">
        <v>3439</v>
      </c>
    </row>
    <row r="94" spans="3:6" x14ac:dyDescent="0.25">
      <c r="C94" s="15" t="s">
        <v>107</v>
      </c>
      <c r="D94" s="19"/>
      <c r="E94" s="13">
        <f>SUM(E86:E93)</f>
        <v>110</v>
      </c>
      <c r="F94" s="14">
        <f>SUM(F86:F93)</f>
        <v>16400</v>
      </c>
    </row>
    <row r="95" spans="3:6" x14ac:dyDescent="0.25">
      <c r="C95" s="16" t="s">
        <v>90</v>
      </c>
      <c r="D95" s="6" t="s">
        <v>91</v>
      </c>
      <c r="E95" s="6">
        <v>4</v>
      </c>
      <c r="F95" s="12">
        <v>774</v>
      </c>
    </row>
    <row r="96" spans="3:6" x14ac:dyDescent="0.25">
      <c r="C96" s="16"/>
      <c r="D96" s="6" t="s">
        <v>92</v>
      </c>
      <c r="E96" s="6">
        <v>8</v>
      </c>
      <c r="F96" s="12">
        <v>968</v>
      </c>
    </row>
    <row r="97" spans="3:6" x14ac:dyDescent="0.25">
      <c r="C97" s="15" t="s">
        <v>107</v>
      </c>
      <c r="D97" s="19"/>
      <c r="E97" s="13">
        <f>SUM(E95:E96)</f>
        <v>12</v>
      </c>
      <c r="F97" s="14">
        <f>SUM(F95:F96)</f>
        <v>1742</v>
      </c>
    </row>
    <row r="98" spans="3:6" x14ac:dyDescent="0.25">
      <c r="C98" s="16" t="s">
        <v>93</v>
      </c>
      <c r="D98" s="6" t="s">
        <v>94</v>
      </c>
      <c r="E98" s="6">
        <v>13</v>
      </c>
      <c r="F98" s="12">
        <v>2007</v>
      </c>
    </row>
    <row r="99" spans="3:6" x14ac:dyDescent="0.25">
      <c r="C99" s="16"/>
      <c r="D99" s="6" t="s">
        <v>95</v>
      </c>
      <c r="E99" s="6">
        <v>1</v>
      </c>
      <c r="F99" s="12">
        <v>169</v>
      </c>
    </row>
    <row r="100" spans="3:6" x14ac:dyDescent="0.25">
      <c r="C100" s="15" t="s">
        <v>107</v>
      </c>
      <c r="D100" s="19"/>
      <c r="E100" s="13">
        <f>SUM(E98:E99)</f>
        <v>14</v>
      </c>
      <c r="F100" s="14">
        <f>SUM(F98:F99)</f>
        <v>2176</v>
      </c>
    </row>
    <row r="101" spans="3:6" x14ac:dyDescent="0.25">
      <c r="C101" s="16" t="s">
        <v>96</v>
      </c>
      <c r="D101" s="6" t="s">
        <v>97</v>
      </c>
      <c r="E101" s="6">
        <v>7</v>
      </c>
      <c r="F101" s="12">
        <v>1704</v>
      </c>
    </row>
    <row r="102" spans="3:6" x14ac:dyDescent="0.25">
      <c r="C102" s="16"/>
      <c r="D102" s="6" t="s">
        <v>98</v>
      </c>
      <c r="E102" s="6">
        <v>1</v>
      </c>
      <c r="F102" s="12">
        <v>90</v>
      </c>
    </row>
    <row r="103" spans="3:6" x14ac:dyDescent="0.25">
      <c r="C103" s="16"/>
      <c r="D103" s="6" t="s">
        <v>99</v>
      </c>
      <c r="E103" s="6">
        <v>7</v>
      </c>
      <c r="F103" s="12">
        <v>1712</v>
      </c>
    </row>
    <row r="104" spans="3:6" x14ac:dyDescent="0.25">
      <c r="C104" s="16"/>
      <c r="D104" s="6" t="s">
        <v>100</v>
      </c>
      <c r="E104" s="6">
        <v>2</v>
      </c>
      <c r="F104" s="12">
        <v>489</v>
      </c>
    </row>
    <row r="105" spans="3:6" x14ac:dyDescent="0.25">
      <c r="C105" s="15" t="s">
        <v>107</v>
      </c>
      <c r="D105" s="19"/>
      <c r="E105" s="13">
        <f>SUM(E101:E104)</f>
        <v>17</v>
      </c>
      <c r="F105" s="14">
        <f>SUM(F101:F104)</f>
        <v>3995</v>
      </c>
    </row>
    <row r="106" spans="3:6" x14ac:dyDescent="0.25">
      <c r="C106" s="11" t="s">
        <v>101</v>
      </c>
      <c r="D106" s="6" t="s">
        <v>102</v>
      </c>
      <c r="E106" s="6">
        <v>27</v>
      </c>
      <c r="F106" s="12">
        <v>5090</v>
      </c>
    </row>
    <row r="107" spans="3:6" x14ac:dyDescent="0.25">
      <c r="C107" s="15" t="s">
        <v>107</v>
      </c>
      <c r="D107" s="19"/>
      <c r="E107" s="13">
        <f>SUM(E106)</f>
        <v>27</v>
      </c>
      <c r="F107" s="14">
        <f>SUM(F106)</f>
        <v>5090</v>
      </c>
    </row>
    <row r="108" spans="3:6" x14ac:dyDescent="0.25">
      <c r="C108" s="16" t="s">
        <v>103</v>
      </c>
      <c r="D108" s="6" t="s">
        <v>104</v>
      </c>
      <c r="E108" s="6">
        <v>2</v>
      </c>
      <c r="F108" s="12">
        <v>292</v>
      </c>
    </row>
    <row r="109" spans="3:6" x14ac:dyDescent="0.25">
      <c r="C109" s="16"/>
      <c r="D109" s="6" t="s">
        <v>105</v>
      </c>
      <c r="E109" s="6">
        <v>2</v>
      </c>
      <c r="F109" s="12">
        <v>264</v>
      </c>
    </row>
    <row r="110" spans="3:6" x14ac:dyDescent="0.25">
      <c r="C110" s="16"/>
      <c r="D110" s="6" t="s">
        <v>106</v>
      </c>
      <c r="E110" s="6">
        <v>22</v>
      </c>
      <c r="F110" s="12">
        <v>2342</v>
      </c>
    </row>
    <row r="111" spans="3:6" x14ac:dyDescent="0.25">
      <c r="C111" s="16"/>
      <c r="D111" s="6" t="s">
        <v>103</v>
      </c>
      <c r="E111" s="6">
        <v>27</v>
      </c>
      <c r="F111" s="12">
        <v>5260</v>
      </c>
    </row>
    <row r="112" spans="3:6" x14ac:dyDescent="0.25">
      <c r="C112" s="15" t="s">
        <v>107</v>
      </c>
      <c r="D112" s="19"/>
      <c r="E112" s="13">
        <f>SUM(E108:E111)</f>
        <v>53</v>
      </c>
      <c r="F112" s="14">
        <f>SUM(F108:F111)</f>
        <v>8158</v>
      </c>
    </row>
    <row r="113" spans="3:6" ht="15.75" thickBot="1" x14ac:dyDescent="0.3">
      <c r="C113" s="20" t="s">
        <v>108</v>
      </c>
      <c r="D113" s="21"/>
      <c r="E113" s="17">
        <f>SUM(E112,E107,E105,E100,E97,E94,E85,E78,E70,E66,E63,E60,E53,E42,E40,E36,E34,E29,E24,E22)</f>
        <v>1001</v>
      </c>
      <c r="F113" s="18">
        <f>SUM(F112,F107,F105,F100,F97,F94,F85,F78,F70,F66,F63,F60,F53,F42,F40,F36,F34,F29,F24,F22)</f>
        <v>164156</v>
      </c>
    </row>
  </sheetData>
  <mergeCells count="37">
    <mergeCell ref="C11:C21"/>
    <mergeCell ref="C71:C77"/>
    <mergeCell ref="C67:C69"/>
    <mergeCell ref="C64:C65"/>
    <mergeCell ref="C61:C62"/>
    <mergeCell ref="C54:C59"/>
    <mergeCell ref="C43:C52"/>
    <mergeCell ref="C107:D107"/>
    <mergeCell ref="C112:D112"/>
    <mergeCell ref="C113:D113"/>
    <mergeCell ref="C108:C111"/>
    <mergeCell ref="C101:C104"/>
    <mergeCell ref="C98:C99"/>
    <mergeCell ref="C78:D78"/>
    <mergeCell ref="C85:D85"/>
    <mergeCell ref="C94:D94"/>
    <mergeCell ref="C97:D97"/>
    <mergeCell ref="C100:D100"/>
    <mergeCell ref="C105:D105"/>
    <mergeCell ref="C95:C96"/>
    <mergeCell ref="C86:C93"/>
    <mergeCell ref="C79:C84"/>
    <mergeCell ref="C42:D42"/>
    <mergeCell ref="C53:D53"/>
    <mergeCell ref="C60:D60"/>
    <mergeCell ref="C63:D63"/>
    <mergeCell ref="C66:D66"/>
    <mergeCell ref="C70:D70"/>
    <mergeCell ref="C22:D22"/>
    <mergeCell ref="C24:D24"/>
    <mergeCell ref="C29:D29"/>
    <mergeCell ref="C34:D34"/>
    <mergeCell ref="C36:D36"/>
    <mergeCell ref="C40:D40"/>
    <mergeCell ref="C37:C39"/>
    <mergeCell ref="C30:C33"/>
    <mergeCell ref="C25:C28"/>
  </mergeCells>
  <conditionalFormatting sqref="D11:D21 D23 D25:D28 D30:D33 D35 D37:D39 D41 D43:D52 D54:D59 D61:D62 D64:D65 D67:D69 D71:D77 D79:D84 D86:D93 D95:D96 D98:D99 D101:D104 D106 D108:D111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Dario Fuentes Morales</dc:creator>
  <cp:lastModifiedBy>Byron Dario Fuentes Morales</cp:lastModifiedBy>
  <dcterms:created xsi:type="dcterms:W3CDTF">2025-10-27T15:00:43Z</dcterms:created>
  <dcterms:modified xsi:type="dcterms:W3CDTF">2025-10-27T15:10:47Z</dcterms:modified>
</cp:coreProperties>
</file>